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37d63be1510f999/Escritorio/EXAMEN 2/"/>
    </mc:Choice>
  </mc:AlternateContent>
  <xr:revisionPtr revIDLastSave="0" documentId="8_{514EE9F1-25A8-4CA1-A010-240F40AB6C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Calculos" sheetId="2" r:id="rId2"/>
    <sheet name="Apalancamiento" sheetId="3" r:id="rId3"/>
    <sheet name="EP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/>
  <c r="B5" i="2"/>
  <c r="B2" i="3" s="1"/>
  <c r="B1" i="2"/>
  <c r="B3" i="2" s="1"/>
  <c r="B2" i="2" l="1"/>
  <c r="B4" i="2" s="1"/>
  <c r="B6" i="2" l="1"/>
  <c r="B7" i="2" s="1"/>
  <c r="B1" i="3"/>
  <c r="B3" i="3" s="1"/>
</calcChain>
</file>

<file path=xl/sharedStrings.xml><?xml version="1.0" encoding="utf-8"?>
<sst xmlns="http://schemas.openxmlformats.org/spreadsheetml/2006/main" count="18" uniqueCount="18">
  <si>
    <t>Costo variable unitario</t>
  </si>
  <si>
    <t>Incremento precio (%)</t>
  </si>
  <si>
    <t>Unidades actuales</t>
  </si>
  <si>
    <t>Impuesto</t>
  </si>
  <si>
    <t>Intereses actuales</t>
  </si>
  <si>
    <t>Acciones actuales</t>
  </si>
  <si>
    <t>Utilidad neta</t>
  </si>
  <si>
    <t>Precio venta</t>
  </si>
  <si>
    <t>Margen contribución</t>
  </si>
  <si>
    <t>Ventas totales</t>
  </si>
  <si>
    <t>Contribución total</t>
  </si>
  <si>
    <t>EBIT estimado</t>
  </si>
  <si>
    <t>Costo fijo</t>
  </si>
  <si>
    <t>Punto equilibrio (unidades)</t>
  </si>
  <si>
    <t>GAO</t>
  </si>
  <si>
    <t>GAF</t>
  </si>
  <si>
    <t>GAT</t>
  </si>
  <si>
    <t>EPS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</si>
</sst>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43" fontId="0" fillId="3" borderId="0" xfId="1" applyNumberFormat="1" applyFont="1" applyFill="1"/>
    <xf numFmtId="43" fontId="0" fillId="3" borderId="0" xfId="1" applyFont="1" applyFill="1"/>
    <xf numFmtId="0" fontId="0" fillId="3" borderId="0" xfId="0" applyFill="1"/>
    <xf numFmtId="0" fontId="0" fillId="4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5" sqref="D5"/>
    </sheetView>
  </sheetViews>
  <sheetFormatPr baseColWidth="10" defaultColWidth="8.88671875" defaultRowHeight="14.4" x14ac:dyDescent="0.3"/>
  <cols>
    <col min="1" max="1" width="19.5546875" bestFit="1" customWidth="1"/>
    <col min="2" max="2" width="14.6640625" bestFit="1" customWidth="1"/>
  </cols>
  <sheetData>
    <row r="1" spans="1:2" x14ac:dyDescent="0.3">
      <c r="A1" s="1" t="s">
        <v>0</v>
      </c>
      <c r="B1" s="2">
        <v>1700</v>
      </c>
    </row>
    <row r="2" spans="1:2" x14ac:dyDescent="0.3">
      <c r="A2" s="1" t="s">
        <v>1</v>
      </c>
      <c r="B2" s="2">
        <v>1.8525</v>
      </c>
    </row>
    <row r="3" spans="1:2" x14ac:dyDescent="0.3">
      <c r="A3" s="1" t="s">
        <v>2</v>
      </c>
      <c r="B3" s="2">
        <v>12000</v>
      </c>
    </row>
    <row r="4" spans="1:2" x14ac:dyDescent="0.3">
      <c r="A4" s="1" t="s">
        <v>3</v>
      </c>
      <c r="B4" s="2">
        <v>0.17499999999999999</v>
      </c>
    </row>
    <row r="5" spans="1:2" x14ac:dyDescent="0.3">
      <c r="A5" s="1" t="s">
        <v>4</v>
      </c>
      <c r="B5" s="2">
        <v>687500</v>
      </c>
    </row>
    <row r="6" spans="1:2" x14ac:dyDescent="0.3">
      <c r="A6" s="1" t="s">
        <v>5</v>
      </c>
      <c r="B6" s="2">
        <v>5000</v>
      </c>
    </row>
    <row r="7" spans="1:2" x14ac:dyDescent="0.3">
      <c r="A7" s="1" t="s">
        <v>6</v>
      </c>
      <c r="B7" s="2">
        <v>5500000</v>
      </c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A7"/>
    </sheetView>
  </sheetViews>
  <sheetFormatPr baseColWidth="10" defaultColWidth="8.88671875" defaultRowHeight="14.4" x14ac:dyDescent="0.3"/>
  <cols>
    <col min="1" max="1" width="22.77734375" bestFit="1" customWidth="1"/>
    <col min="2" max="2" width="13.6640625" bestFit="1" customWidth="1"/>
  </cols>
  <sheetData>
    <row r="1" spans="1:2" x14ac:dyDescent="0.3">
      <c r="A1" s="1" t="s">
        <v>7</v>
      </c>
      <c r="B1" s="3">
        <f>Datos!B1*(1+Datos!B2)</f>
        <v>4849.25</v>
      </c>
    </row>
    <row r="2" spans="1:2" x14ac:dyDescent="0.3">
      <c r="A2" s="1" t="s">
        <v>8</v>
      </c>
      <c r="B2" s="3">
        <f>B1-Datos!B1</f>
        <v>3149.25</v>
      </c>
    </row>
    <row r="3" spans="1:2" x14ac:dyDescent="0.3">
      <c r="A3" s="1" t="s">
        <v>9</v>
      </c>
      <c r="B3" s="3">
        <f>B1*Datos!B3</f>
        <v>58191000</v>
      </c>
    </row>
    <row r="4" spans="1:2" x14ac:dyDescent="0.3">
      <c r="A4" s="1" t="s">
        <v>10</v>
      </c>
      <c r="B4" s="3">
        <f>B2*Datos!B3</f>
        <v>37791000</v>
      </c>
    </row>
    <row r="5" spans="1:2" x14ac:dyDescent="0.3">
      <c r="A5" s="1" t="s">
        <v>11</v>
      </c>
      <c r="B5" s="3">
        <f>(Datos!B7/(1-Datos!B4))+Datos!B5</f>
        <v>7354166.666666667</v>
      </c>
    </row>
    <row r="6" spans="1:2" x14ac:dyDescent="0.3">
      <c r="A6" s="1" t="s">
        <v>12</v>
      </c>
      <c r="B6" s="3">
        <f>B4-B5</f>
        <v>30436833.333333332</v>
      </c>
    </row>
    <row r="7" spans="1:2" x14ac:dyDescent="0.3">
      <c r="A7" s="1" t="s">
        <v>13</v>
      </c>
      <c r="B7" s="3">
        <f>B6/B2</f>
        <v>9664.7879124659303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11" sqref="C11"/>
    </sheetView>
  </sheetViews>
  <sheetFormatPr baseColWidth="10" defaultColWidth="8.88671875" defaultRowHeight="14.4" x14ac:dyDescent="0.3"/>
  <sheetData>
    <row r="1" spans="1:2" x14ac:dyDescent="0.3">
      <c r="A1" s="1" t="s">
        <v>14</v>
      </c>
      <c r="B1" s="4">
        <f>Calculos!B4/(Calculos!B4-Calculos!B6)</f>
        <v>5.1387195467422089</v>
      </c>
    </row>
    <row r="2" spans="1:2" x14ac:dyDescent="0.3">
      <c r="A2" s="1" t="s">
        <v>15</v>
      </c>
      <c r="B2" s="4">
        <f>Calculos!B5/(Calculos!B5-Datos!B5)</f>
        <v>1.1031249999999999</v>
      </c>
    </row>
    <row r="3" spans="1:2" x14ac:dyDescent="0.3">
      <c r="A3" s="1" t="s">
        <v>16</v>
      </c>
      <c r="B3" s="4">
        <f>B1*B2</f>
        <v>5.6686499999999986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E4" sqref="E4"/>
    </sheetView>
  </sheetViews>
  <sheetFormatPr baseColWidth="10" defaultColWidth="8.88671875" defaultRowHeight="14.4" x14ac:dyDescent="0.3"/>
  <cols>
    <col min="1" max="1" width="9.33203125" bestFit="1" customWidth="1"/>
  </cols>
  <sheetData>
    <row r="1" spans="1:2" x14ac:dyDescent="0.3">
      <c r="A1" s="5" t="s">
        <v>17</v>
      </c>
      <c r="B1" s="4">
        <f>Datos!B7/Datos!B6</f>
        <v>1100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Calculos</vt:lpstr>
      <vt:lpstr>Apalancamiento</vt:lpstr>
      <vt:lpstr>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ARTAVIA SANCHEZ SEBASTIAN</cp:lastModifiedBy>
  <cp:lastPrinted>2026-03-31T01:27:06Z</cp:lastPrinted>
  <dcterms:created xsi:type="dcterms:W3CDTF">2026-03-31T01:12:00Z</dcterms:created>
  <dcterms:modified xsi:type="dcterms:W3CDTF">2026-03-31T01:28:53Z</dcterms:modified>
</cp:coreProperties>
</file>