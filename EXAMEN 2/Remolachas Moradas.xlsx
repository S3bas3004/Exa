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37d63be1510f999/Escritorio/EXAMEN 2/"/>
    </mc:Choice>
  </mc:AlternateContent>
  <xr:revisionPtr revIDLastSave="0" documentId="8_{5559B96A-85F8-43D2-84FC-85C8920264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jercicio CV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0" i="1" s="1"/>
  <c r="B12" i="1" s="1"/>
  <c r="B6" i="1"/>
  <c r="B5" i="1"/>
  <c r="B14" i="1" l="1"/>
  <c r="B15" i="1" s="1"/>
  <c r="B18" i="1"/>
  <c r="B19" i="1" s="1"/>
</calcChain>
</file>

<file path=xl/sharedStrings.xml><?xml version="1.0" encoding="utf-8"?>
<sst xmlns="http://schemas.openxmlformats.org/spreadsheetml/2006/main" count="16" uniqueCount="16">
  <si>
    <t>Concepto</t>
  </si>
  <si>
    <t>Valor</t>
  </si>
  <si>
    <t>Precio de venta unitario</t>
  </si>
  <si>
    <t>Costo variable unitario</t>
  </si>
  <si>
    <t>Unidades actuales</t>
  </si>
  <si>
    <t>Ventas actuales</t>
  </si>
  <si>
    <t>Costos variables totales</t>
  </si>
  <si>
    <t>Utilidad neta actual</t>
  </si>
  <si>
    <t>Margen de contribución unitario</t>
  </si>
  <si>
    <t>Margen de contribución total</t>
  </si>
  <si>
    <t>Costos fijos</t>
  </si>
  <si>
    <t>Punto de equilibrio (unidades)</t>
  </si>
  <si>
    <t>Punto de equilibrio (ventas ₡)</t>
  </si>
  <si>
    <t>Utilidad deseada después de impuestos</t>
  </si>
  <si>
    <t>Unidades necesarias</t>
  </si>
  <si>
    <t>Ventas necesarias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</si>
</sst>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43" fontId="0" fillId="4" borderId="0" xfId="1" applyFont="1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E12" sqref="E12"/>
    </sheetView>
  </sheetViews>
  <sheetFormatPr baseColWidth="10" defaultColWidth="8.88671875" defaultRowHeight="14.4" x14ac:dyDescent="0.3"/>
  <cols>
    <col min="1" max="1" width="33.21875" bestFit="1" customWidth="1"/>
    <col min="2" max="2" width="12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17.25</v>
      </c>
    </row>
    <row r="3" spans="1:2" x14ac:dyDescent="0.3">
      <c r="A3" s="2" t="s">
        <v>3</v>
      </c>
      <c r="B3" s="3">
        <v>8.35</v>
      </c>
    </row>
    <row r="4" spans="1:2" x14ac:dyDescent="0.3">
      <c r="A4" s="2" t="s">
        <v>4</v>
      </c>
      <c r="B4" s="3">
        <v>200000</v>
      </c>
    </row>
    <row r="5" spans="1:2" x14ac:dyDescent="0.3">
      <c r="A5" s="2" t="s">
        <v>5</v>
      </c>
      <c r="B5" s="3">
        <f>B2*B4</f>
        <v>3450000</v>
      </c>
    </row>
    <row r="6" spans="1:2" x14ac:dyDescent="0.3">
      <c r="A6" s="2" t="s">
        <v>6</v>
      </c>
      <c r="B6" s="3">
        <f>B3*B4</f>
        <v>1670000</v>
      </c>
    </row>
    <row r="7" spans="1:2" x14ac:dyDescent="0.3">
      <c r="A7" s="2" t="s">
        <v>7</v>
      </c>
      <c r="B7" s="3">
        <v>1350000</v>
      </c>
    </row>
    <row r="8" spans="1:2" x14ac:dyDescent="0.3">
      <c r="A8" s="2"/>
      <c r="B8" s="3"/>
    </row>
    <row r="9" spans="1:2" x14ac:dyDescent="0.3">
      <c r="A9" s="2" t="s">
        <v>8</v>
      </c>
      <c r="B9" s="3">
        <f>B2-B3</f>
        <v>8.9</v>
      </c>
    </row>
    <row r="10" spans="1:2" x14ac:dyDescent="0.3">
      <c r="A10" s="2" t="s">
        <v>9</v>
      </c>
      <c r="B10" s="3">
        <f>B9*B4</f>
        <v>1780000</v>
      </c>
    </row>
    <row r="11" spans="1:2" x14ac:dyDescent="0.3">
      <c r="A11" s="2"/>
      <c r="B11" s="3"/>
    </row>
    <row r="12" spans="1:2" x14ac:dyDescent="0.3">
      <c r="A12" s="2" t="s">
        <v>10</v>
      </c>
      <c r="B12" s="3">
        <f>B10-B7</f>
        <v>430000</v>
      </c>
    </row>
    <row r="13" spans="1:2" x14ac:dyDescent="0.3">
      <c r="A13" s="2"/>
      <c r="B13" s="3"/>
    </row>
    <row r="14" spans="1:2" x14ac:dyDescent="0.3">
      <c r="A14" s="2" t="s">
        <v>11</v>
      </c>
      <c r="B14" s="3">
        <f>B12/B9</f>
        <v>48314.606741573029</v>
      </c>
    </row>
    <row r="15" spans="1:2" x14ac:dyDescent="0.3">
      <c r="A15" s="2" t="s">
        <v>12</v>
      </c>
      <c r="B15" s="3">
        <f>B14*B2</f>
        <v>833426.96629213472</v>
      </c>
    </row>
    <row r="16" spans="1:2" x14ac:dyDescent="0.3">
      <c r="A16" s="2"/>
      <c r="B16" s="3"/>
    </row>
    <row r="17" spans="1:2" x14ac:dyDescent="0.3">
      <c r="A17" s="2" t="s">
        <v>13</v>
      </c>
      <c r="B17" s="3">
        <v>555000</v>
      </c>
    </row>
    <row r="18" spans="1:2" x14ac:dyDescent="0.3">
      <c r="A18" s="2" t="s">
        <v>14</v>
      </c>
      <c r="B18" s="3">
        <f>(B12+B17)/B9</f>
        <v>110674.15730337078</v>
      </c>
    </row>
    <row r="19" spans="1:2" x14ac:dyDescent="0.3">
      <c r="A19" s="2" t="s">
        <v>15</v>
      </c>
      <c r="B19" s="3">
        <f>B18*B2</f>
        <v>1909129.2134831459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 CVU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Artavia Sanchez</cp:lastModifiedBy>
  <dcterms:created xsi:type="dcterms:W3CDTF">2026-03-31T02:29:22Z</dcterms:created>
  <dcterms:modified xsi:type="dcterms:W3CDTF">2026-03-31T02:35:41Z</dcterms:modified>
</cp:coreProperties>
</file>