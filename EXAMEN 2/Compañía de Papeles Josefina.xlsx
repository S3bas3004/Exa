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37d63be1510f999/Escritorio/EXAMEN 2/"/>
    </mc:Choice>
  </mc:AlternateContent>
  <xr:revisionPtr revIDLastSave="0" documentId="8_{B8FDAB8C-8893-47CC-92DD-1698C627C6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ntabilid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6" i="1"/>
  <c r="B15" i="1"/>
  <c r="B18" i="1" s="1"/>
  <c r="B13" i="1"/>
  <c r="B20" i="1" s="1"/>
  <c r="B12" i="1"/>
  <c r="B11" i="1"/>
  <c r="B9" i="1"/>
  <c r="B4" i="1"/>
</calcChain>
</file>

<file path=xl/sharedStrings.xml><?xml version="1.0" encoding="utf-8"?>
<sst xmlns="http://schemas.openxmlformats.org/spreadsheetml/2006/main" count="18" uniqueCount="18">
  <si>
    <t>Concepto</t>
  </si>
  <si>
    <t>Monto</t>
  </si>
  <si>
    <t>Tasa</t>
  </si>
  <si>
    <t>Activos Circulantes</t>
  </si>
  <si>
    <t>Activos Fijos</t>
  </si>
  <si>
    <t>Total Activos</t>
  </si>
  <si>
    <t>Pasivo Circulante</t>
  </si>
  <si>
    <t>Pasivo Largo Plazo</t>
  </si>
  <si>
    <t>Patrimonio</t>
  </si>
  <si>
    <t>Total Pasivo + Patrimonio</t>
  </si>
  <si>
    <t>Rendimiento Activos Circulantes</t>
  </si>
  <si>
    <t>Rendimiento Activos Fijos</t>
  </si>
  <si>
    <t>Total Rendimiento Activos</t>
  </si>
  <si>
    <t>Costo Pasivo Circulante</t>
  </si>
  <si>
    <t>Costo Pasivo Largo Plazo</t>
  </si>
  <si>
    <t>Costo Patrimonio</t>
  </si>
  <si>
    <t>Total Costo Financiamiento</t>
  </si>
  <si>
    <t>Rentabilidad 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</si>
</sst>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0" fontId="0" fillId="2" borderId="0" xfId="0" applyFill="1"/>
    <xf numFmtId="43" fontId="0" fillId="2" borderId="0" xfId="1" applyFont="1" applyFill="1"/>
    <xf numFmtId="0" fontId="0" fillId="3" borderId="0" xfId="0" applyFill="1"/>
    <xf numFmtId="43" fontId="0" fillId="4" borderId="0" xfId="1" applyFont="1" applyFill="1"/>
    <xf numFmtId="0" fontId="0" fillId="4" borderId="0" xfId="0" applyFill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B9" sqref="B9"/>
    </sheetView>
  </sheetViews>
  <sheetFormatPr baseColWidth="10" defaultColWidth="8.88671875" defaultRowHeight="14.4" x14ac:dyDescent="0.3"/>
  <cols>
    <col min="1" max="1" width="27.44140625" bestFit="1" customWidth="1"/>
    <col min="2" max="2" width="11.21875" style="1" bestFit="1" customWidth="1"/>
  </cols>
  <sheetData>
    <row r="1" spans="1:4" x14ac:dyDescent="0.3">
      <c r="A1" s="2" t="s">
        <v>0</v>
      </c>
      <c r="B1" s="3" t="s">
        <v>1</v>
      </c>
      <c r="C1" s="2"/>
      <c r="D1" s="2" t="s">
        <v>2</v>
      </c>
    </row>
    <row r="2" spans="1:4" x14ac:dyDescent="0.3">
      <c r="A2" s="4" t="s">
        <v>3</v>
      </c>
      <c r="B2" s="5">
        <v>23000</v>
      </c>
      <c r="D2" s="6">
        <v>1.6500000000000001E-2</v>
      </c>
    </row>
    <row r="3" spans="1:4" x14ac:dyDescent="0.3">
      <c r="A3" s="4" t="s">
        <v>4</v>
      </c>
      <c r="B3" s="5">
        <v>77000</v>
      </c>
      <c r="D3" s="6">
        <v>0.13950000000000001</v>
      </c>
    </row>
    <row r="4" spans="1:4" x14ac:dyDescent="0.3">
      <c r="A4" s="4" t="s">
        <v>5</v>
      </c>
      <c r="B4" s="5">
        <f>SUM(B2:B3)</f>
        <v>100000</v>
      </c>
      <c r="D4" s="6"/>
    </row>
    <row r="5" spans="1:4" x14ac:dyDescent="0.3">
      <c r="A5" s="4"/>
      <c r="B5" s="5"/>
      <c r="D5" s="6"/>
    </row>
    <row r="6" spans="1:4" x14ac:dyDescent="0.3">
      <c r="A6" s="4" t="s">
        <v>6</v>
      </c>
      <c r="B6" s="5">
        <v>10000</v>
      </c>
      <c r="D6" s="6">
        <v>3.4500000000000003E-2</v>
      </c>
    </row>
    <row r="7" spans="1:4" x14ac:dyDescent="0.3">
      <c r="A7" s="4" t="s">
        <v>7</v>
      </c>
      <c r="B7" s="5">
        <v>43000</v>
      </c>
      <c r="D7" s="6">
        <v>8.9499999999999996E-2</v>
      </c>
    </row>
    <row r="8" spans="1:4" x14ac:dyDescent="0.3">
      <c r="A8" s="4" t="s">
        <v>8</v>
      </c>
      <c r="B8" s="5">
        <v>47000</v>
      </c>
      <c r="D8" s="6">
        <v>0.10050000000000001</v>
      </c>
    </row>
    <row r="9" spans="1:4" x14ac:dyDescent="0.3">
      <c r="A9" s="4" t="s">
        <v>9</v>
      </c>
      <c r="B9" s="5">
        <f>SUM(B6:B8)</f>
        <v>100000</v>
      </c>
    </row>
    <row r="10" spans="1:4" x14ac:dyDescent="0.3">
      <c r="A10" s="4"/>
      <c r="B10" s="5"/>
    </row>
    <row r="11" spans="1:4" x14ac:dyDescent="0.3">
      <c r="A11" s="4" t="s">
        <v>10</v>
      </c>
      <c r="B11" s="5">
        <f>B2*D2</f>
        <v>379.5</v>
      </c>
    </row>
    <row r="12" spans="1:4" x14ac:dyDescent="0.3">
      <c r="A12" s="4" t="s">
        <v>11</v>
      </c>
      <c r="B12" s="5">
        <f>B3*D3</f>
        <v>10741.500000000002</v>
      </c>
    </row>
    <row r="13" spans="1:4" x14ac:dyDescent="0.3">
      <c r="A13" s="4" t="s">
        <v>12</v>
      </c>
      <c r="B13" s="5">
        <f>SUM(B11:B12)</f>
        <v>11121.000000000002</v>
      </c>
    </row>
    <row r="14" spans="1:4" x14ac:dyDescent="0.3">
      <c r="A14" s="4"/>
      <c r="B14" s="5"/>
    </row>
    <row r="15" spans="1:4" x14ac:dyDescent="0.3">
      <c r="A15" s="4" t="s">
        <v>13</v>
      </c>
      <c r="B15" s="5">
        <f>B6*D6</f>
        <v>345.00000000000006</v>
      </c>
    </row>
    <row r="16" spans="1:4" x14ac:dyDescent="0.3">
      <c r="A16" s="4" t="s">
        <v>14</v>
      </c>
      <c r="B16" s="5">
        <f>B7*D7</f>
        <v>3848.5</v>
      </c>
    </row>
    <row r="17" spans="1:2" x14ac:dyDescent="0.3">
      <c r="A17" s="4" t="s">
        <v>15</v>
      </c>
      <c r="B17" s="5">
        <f>B8*D8</f>
        <v>4723.5</v>
      </c>
    </row>
    <row r="18" spans="1:2" x14ac:dyDescent="0.3">
      <c r="A18" s="4" t="s">
        <v>16</v>
      </c>
      <c r="B18" s="5">
        <f>SUM(B15:B17)</f>
        <v>8917</v>
      </c>
    </row>
    <row r="19" spans="1:2" x14ac:dyDescent="0.3">
      <c r="A19" s="4"/>
      <c r="B19" s="5"/>
    </row>
    <row r="20" spans="1:2" x14ac:dyDescent="0.3">
      <c r="A20" s="4" t="s">
        <v>17</v>
      </c>
      <c r="B20" s="5">
        <f>B13-B18</f>
        <v>2204.0000000000018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Rentabilidad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Artavia Sanchez</cp:lastModifiedBy>
  <dcterms:created xsi:type="dcterms:W3CDTF">2026-03-31T02:21:05Z</dcterms:created>
  <dcterms:modified xsi:type="dcterms:W3CDTF">2026-03-31T02:30:35Z</dcterms:modified>
</cp:coreProperties>
</file>